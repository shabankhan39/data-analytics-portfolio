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ade01e5c521903c/Desktop/Shaban/"/>
    </mc:Choice>
  </mc:AlternateContent>
  <xr:revisionPtr revIDLastSave="8" documentId="8_{ABC04089-7769-4E43-9915-B025B1F01043}" xr6:coauthVersionLast="47" xr6:coauthVersionMax="47" xr10:uidLastSave="{F2AB9C01-442E-4BDD-B98E-8107F7776FE5}"/>
  <bookViews>
    <workbookView xWindow="-110" yWindow="-110" windowWidth="19420" windowHeight="10300" activeTab="1" xr2:uid="{00000000-000D-0000-FFFF-FFFF00000000}"/>
  </bookViews>
  <sheets>
    <sheet name="bike_buyers" sheetId="1" r:id="rId1"/>
    <sheet name="Worksheet" sheetId="2" r:id="rId2"/>
    <sheet name="Pivot Table" sheetId="4" r:id="rId3"/>
    <sheet name="Dashboard" sheetId="3" r:id="rId4"/>
  </sheets>
  <definedNames>
    <definedName name="_xlnm._FilterDatabase" localSheetId="0" hidden="1">bike_buyers!$A$1:$M$1001</definedName>
    <definedName name="_xlnm._FilterDatabase" localSheetId="1" hidden="1">Worksheet!$A$1:$N$1027</definedName>
    <definedName name="Slicer_Age_Brackets">#N/A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<sst xmlns="http://schemas.openxmlformats.org/spreadsheetml/2006/main" count="16267" uniqueCount="51">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</sst>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a:t>
            </a:r>
          </a:p>
        </c:rich>
      </c:tx>
      <c:layout>
        <c:manualLayout>
          <c:xMode val="edge"/>
          <c:yMode val="edge"/>
          <c:x val="0.37046788949069226"/>
          <c:y val="1.5671661443657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2250542381626"/>
          <c:y val="9.758485508460378E-2"/>
          <c:w val="0.64819685039370079"/>
          <c:h val="0.5606587368068353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865F-4282-AD40-1557F7DFD7A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0-8559-47F8-B317-652E6C76539F}"/>
            </c:ext>
          </c:extLst>
        </c:ser>
        <c:dLbls>
          <c:showLegendKey val="0"/>
          <c:showVal val="0"/>
          <c:showCatName val="0"/>
          <c:showSerName val="0"/>
          <c:showPercent val="0"/>
          <c:showBubbleSize val="0"/>
        </c:dLbls>
        <c:gapWidth val="219"/>
        <c:overlap val="-27"/>
        <c:axId val="1673200655"/>
        <c:axId val="1673210255"/>
      </c:barChart>
      <c:catAx>
        <c:axId val="167320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10255"/>
        <c:crosses val="autoZero"/>
        <c:auto val="1"/>
        <c:lblAlgn val="ctr"/>
        <c:lblOffset val="100"/>
        <c:noMultiLvlLbl val="0"/>
      </c:catAx>
      <c:valAx>
        <c:axId val="167321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20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FD1-4CE4-8081-3741D344B44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5055-40D1-A5BD-D53D9E6ED1C7}"/>
            </c:ext>
          </c:extLst>
        </c:ser>
        <c:dLbls>
          <c:showLegendKey val="0"/>
          <c:showVal val="0"/>
          <c:showCatName val="0"/>
          <c:showSerName val="0"/>
          <c:showPercent val="0"/>
          <c:showBubbleSize val="0"/>
        </c:dLbls>
        <c:smooth val="0"/>
        <c:axId val="225721375"/>
        <c:axId val="225707935"/>
      </c:lineChart>
      <c:catAx>
        <c:axId val="2257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07935"/>
        <c:crosses val="autoZero"/>
        <c:auto val="1"/>
        <c:lblAlgn val="ctr"/>
        <c:lblOffset val="100"/>
        <c:noMultiLvlLbl val="0"/>
      </c:catAx>
      <c:valAx>
        <c:axId val="22570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2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As</a:t>
            </a:r>
            <a:r>
              <a:rPr lang="en-US" baseline="0"/>
              <a:t> Per </a:t>
            </a:r>
            <a:r>
              <a:rPr lang="en-US"/>
              <a:t>Age</a:t>
            </a:r>
            <a:r>
              <a:rPr lang="en-US" baseline="0"/>
              <a:t> Brackets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Middleage</c:v>
                </c:pt>
                <c:pt idx="2">
                  <c:v>Old</c:v>
                </c:pt>
              </c:strCache>
            </c:strRef>
          </c:cat>
          <c:val>
            <c:numRef>
              <c:f>'Pivot Table'!$B$41:$B$44</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5BEF-42B9-9A8E-1D821E950E33}"/>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Middleage</c:v>
                </c:pt>
                <c:pt idx="2">
                  <c:v>Old</c:v>
                </c:pt>
              </c:strCache>
            </c:strRef>
          </c:cat>
          <c:val>
            <c:numRef>
              <c:f>'Pivot Table'!$C$41:$C$44</c:f>
              <c:numCache>
                <c:formatCode>General</c:formatCode>
                <c:ptCount val="3"/>
                <c:pt idx="0">
                  <c:v>47</c:v>
                </c:pt>
                <c:pt idx="1">
                  <c:v>375</c:v>
                </c:pt>
                <c:pt idx="2">
                  <c:v>59</c:v>
                </c:pt>
              </c:numCache>
            </c:numRef>
          </c:val>
          <c:smooth val="0"/>
          <c:extLst>
            <c:ext xmlns:c16="http://schemas.microsoft.com/office/drawing/2014/chart" uri="{C3380CC4-5D6E-409C-BE32-E72D297353CC}">
              <c16:uniqueId val="{00000000-49C1-4EB9-9D9C-44FAB4AC5B4C}"/>
            </c:ext>
          </c:extLst>
        </c:ser>
        <c:dLbls>
          <c:showLegendKey val="0"/>
          <c:showVal val="0"/>
          <c:showCatName val="0"/>
          <c:showSerName val="0"/>
          <c:showPercent val="0"/>
          <c:showBubbleSize val="0"/>
        </c:dLbls>
        <c:marker val="1"/>
        <c:smooth val="0"/>
        <c:axId val="473972671"/>
        <c:axId val="473976031"/>
      </c:lineChart>
      <c:catAx>
        <c:axId val="47397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76031"/>
        <c:crosses val="autoZero"/>
        <c:auto val="1"/>
        <c:lblAlgn val="ctr"/>
        <c:lblOffset val="100"/>
        <c:noMultiLvlLbl val="0"/>
      </c:catAx>
      <c:valAx>
        <c:axId val="47397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72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Average Income </a:t>
            </a:r>
          </a:p>
        </c:rich>
      </c:tx>
      <c:layout>
        <c:manualLayout>
          <c:xMode val="edge"/>
          <c:yMode val="edge"/>
          <c:x val="0.37046788949069226"/>
          <c:y val="1.567166144365733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2250542381626"/>
          <c:y val="9.758485508460378E-2"/>
          <c:w val="0.64819685039370079"/>
          <c:h val="0.56065873680683531"/>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CE74-4852-9327-B5EF2CB3DEA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825-4581-A4A8-72388C7D4CDC}"/>
            </c:ext>
          </c:extLst>
        </c:ser>
        <c:dLbls>
          <c:showLegendKey val="0"/>
          <c:showVal val="0"/>
          <c:showCatName val="0"/>
          <c:showSerName val="0"/>
          <c:showPercent val="0"/>
          <c:showBubbleSize val="0"/>
        </c:dLbls>
        <c:gapWidth val="219"/>
        <c:axId val="1673200655"/>
        <c:axId val="1673210255"/>
      </c:barChart>
      <c:catAx>
        <c:axId val="1673200655"/>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3210255"/>
        <c:crosses val="autoZero"/>
        <c:auto val="1"/>
        <c:lblAlgn val="ctr"/>
        <c:lblOffset val="100"/>
        <c:noMultiLvlLbl val="0"/>
      </c:catAx>
      <c:valAx>
        <c:axId val="167321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320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As Per</a:t>
            </a:r>
            <a:r>
              <a:rPr lang="en-US" baseline="0"/>
              <a:t> Miles Travelled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B80-4623-A502-6DF38584656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52-4C13-8FF8-5284D72CE202}"/>
            </c:ext>
          </c:extLst>
        </c:ser>
        <c:dLbls>
          <c:showLegendKey val="0"/>
          <c:showVal val="0"/>
          <c:showCatName val="0"/>
          <c:showSerName val="0"/>
          <c:showPercent val="0"/>
          <c:showBubbleSize val="0"/>
        </c:dLbls>
        <c:smooth val="0"/>
        <c:axId val="225721375"/>
        <c:axId val="225707935"/>
      </c:lineChart>
      <c:catAx>
        <c:axId val="2257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07935"/>
        <c:crosses val="autoZero"/>
        <c:auto val="1"/>
        <c:lblAlgn val="ctr"/>
        <c:lblOffset val="100"/>
        <c:noMultiLvlLbl val="0"/>
      </c:catAx>
      <c:valAx>
        <c:axId val="22570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2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As</a:t>
            </a:r>
            <a:r>
              <a:rPr lang="en-US" baseline="0"/>
              <a:t> Per </a:t>
            </a:r>
            <a:r>
              <a:rPr lang="en-US"/>
              <a:t>Age</a:t>
            </a:r>
            <a:r>
              <a:rPr lang="en-US" baseline="0"/>
              <a:t> Brackets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Middleage</c:v>
                </c:pt>
                <c:pt idx="2">
                  <c:v>Old</c:v>
                </c:pt>
              </c:strCache>
            </c:strRef>
          </c:cat>
          <c:val>
            <c:numRef>
              <c:f>'Pivot Table'!$B$41:$B$44</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F9FC-44A6-9512-9C64C0BB08A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Middleage</c:v>
                </c:pt>
                <c:pt idx="2">
                  <c:v>Old</c:v>
                </c:pt>
              </c:strCache>
            </c:strRef>
          </c:cat>
          <c:val>
            <c:numRef>
              <c:f>'Pivot Table'!$C$41:$C$44</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762E-4446-A055-D622D1A12C55}"/>
            </c:ext>
          </c:extLst>
        </c:ser>
        <c:dLbls>
          <c:showLegendKey val="0"/>
          <c:showVal val="0"/>
          <c:showCatName val="0"/>
          <c:showSerName val="0"/>
          <c:showPercent val="0"/>
          <c:showBubbleSize val="0"/>
        </c:dLbls>
        <c:marker val="1"/>
        <c:smooth val="0"/>
        <c:axId val="473972671"/>
        <c:axId val="473976031"/>
      </c:lineChart>
      <c:catAx>
        <c:axId val="47397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76031"/>
        <c:crosses val="autoZero"/>
        <c:auto val="1"/>
        <c:lblAlgn val="ctr"/>
        <c:lblOffset val="100"/>
        <c:noMultiLvlLbl val="0"/>
      </c:catAx>
      <c:valAx>
        <c:axId val="47397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72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16</xdr:col>
      <xdr:colOff>495300</xdr:colOff>
      <xdr:row>16</xdr:row>
      <xdr:rowOff>38100</xdr:rowOff>
    </xdr:to>
    <xdr:graphicFrame macro="">
      <xdr:nvGraphicFramePr>
        <xdr:cNvPr id="2" name="Chart 1">
          <a:extLst>
            <a:ext uri="{FF2B5EF4-FFF2-40B4-BE49-F238E27FC236}">
              <a16:creationId xmlns:a16="http://schemas.microsoft.com/office/drawing/2014/main" id="{E23EF357-3788-4BB5-DBAC-C34F1A2DD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xdr:colOff>
      <xdr:row>18</xdr:row>
      <xdr:rowOff>19050</xdr:rowOff>
    </xdr:from>
    <xdr:to>
      <xdr:col>13</xdr:col>
      <xdr:colOff>311150</xdr:colOff>
      <xdr:row>33</xdr:row>
      <xdr:rowOff>0</xdr:rowOff>
    </xdr:to>
    <xdr:graphicFrame macro="">
      <xdr:nvGraphicFramePr>
        <xdr:cNvPr id="3" name="Chart 2">
          <a:extLst>
            <a:ext uri="{FF2B5EF4-FFF2-40B4-BE49-F238E27FC236}">
              <a16:creationId xmlns:a16="http://schemas.microsoft.com/office/drawing/2014/main" id="{59EF0E11-9D8E-2F83-56C4-828AF27B5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596900</xdr:colOff>
      <xdr:row>33</xdr:row>
      <xdr:rowOff>146050</xdr:rowOff>
    </xdr:from>
    <xdr:to>
      <xdr:col>14</xdr:col>
      <xdr:colOff>590550</xdr:colOff>
      <xdr:row>51</xdr:row>
      <xdr:rowOff>12700</xdr:rowOff>
    </xdr:to>
    <xdr:graphicFrame macro="">
      <xdr:nvGraphicFramePr>
        <xdr:cNvPr id="4" name="Chart 3">
          <a:extLst>
            <a:ext uri="{FF2B5EF4-FFF2-40B4-BE49-F238E27FC236}">
              <a16:creationId xmlns:a16="http://schemas.microsoft.com/office/drawing/2014/main" id="{A2CE4BEE-761B-A429-0711-7665FBB73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1826829</xdr:colOff>
      <xdr:row>8</xdr:row>
      <xdr:rowOff>53569</xdr:rowOff>
    </xdr:from>
    <xdr:to>
      <xdr:col>8</xdr:col>
      <xdr:colOff>284562</xdr:colOff>
      <xdr:row>23</xdr:row>
      <xdr:rowOff>17333</xdr:rowOff>
    </xdr:to>
    <xdr:graphicFrame macro="">
      <xdr:nvGraphicFramePr>
        <xdr:cNvPr id="2" name="Chart 1">
          <a:extLst>
            <a:ext uri="{FF2B5EF4-FFF2-40B4-BE49-F238E27FC236}">
              <a16:creationId xmlns:a16="http://schemas.microsoft.com/office/drawing/2014/main" id="{CC065AFB-7ACF-4AD8-98E1-C4859E8BD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1807309</xdr:colOff>
      <xdr:row>23</xdr:row>
      <xdr:rowOff>80799</xdr:rowOff>
    </xdr:from>
    <xdr:to>
      <xdr:col>11</xdr:col>
      <xdr:colOff>2996120</xdr:colOff>
      <xdr:row>38</xdr:row>
      <xdr:rowOff>51934</xdr:rowOff>
    </xdr:to>
    <xdr:graphicFrame macro="">
      <xdr:nvGraphicFramePr>
        <xdr:cNvPr id="3" name="Chart 2">
          <a:extLst>
            <a:ext uri="{FF2B5EF4-FFF2-40B4-BE49-F238E27FC236}">
              <a16:creationId xmlns:a16="http://schemas.microsoft.com/office/drawing/2014/main" id="{934AF4E0-4A36-43A1-9BC9-24F87B1ED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320014</xdr:colOff>
      <xdr:row>8</xdr:row>
      <xdr:rowOff>22032</xdr:rowOff>
    </xdr:from>
    <xdr:to>
      <xdr:col>11</xdr:col>
      <xdr:colOff>2993661</xdr:colOff>
      <xdr:row>22</xdr:row>
      <xdr:rowOff>168571</xdr:rowOff>
    </xdr:to>
    <xdr:graphicFrame macro="">
      <xdr:nvGraphicFramePr>
        <xdr:cNvPr id="4" name="Chart 3">
          <a:extLst>
            <a:ext uri="{FF2B5EF4-FFF2-40B4-BE49-F238E27FC236}">
              <a16:creationId xmlns:a16="http://schemas.microsoft.com/office/drawing/2014/main" id="{ACB2C3EA-836B-44D6-A8B5-D6486DAA1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73378</xdr:rowOff>
    </xdr:from>
    <xdr:to>
      <xdr:col>0</xdr:col>
      <xdr:colOff>1790347</xdr:colOff>
      <xdr:row>13</xdr:row>
      <xdr:rowOff>52917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D6E0F4B-37F5-020E-060E-965068EBB3F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55045"/>
              <a:ext cx="1790347" cy="90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177095</xdr:rowOff>
    </xdr:from>
    <xdr:to>
      <xdr:col>0</xdr:col>
      <xdr:colOff>1781528</xdr:colOff>
      <xdr:row>25</xdr:row>
      <xdr:rowOff>167570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EE790A9-5869-C5F1-6269-B90CAE5868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96053"/>
              <a:ext cx="1781528" cy="110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132998</xdr:rowOff>
    </xdr:from>
    <xdr:to>
      <xdr:col>0</xdr:col>
      <xdr:colOff>1781528</xdr:colOff>
      <xdr:row>19</xdr:row>
      <xdr:rowOff>123473</xdr:rowOff>
    </xdr:to>
    <mc:AlternateContent xmlns:mc="http://schemas.openxmlformats.org/markup-compatibility/2006">
      <mc:Choice xmlns:a14="http://schemas.microsoft.com/office/drawing/2010/main" Requires="a14">
        <xdr:graphicFrame macro="">
          <xdr:nvGraphicFramePr>
            <xdr:cNvPr id="7" name="Age Brackets">
              <a:extLst>
                <a:ext uri="{FF2B5EF4-FFF2-40B4-BE49-F238E27FC236}">
                  <a16:creationId xmlns:a16="http://schemas.microsoft.com/office/drawing/2014/main" id="{C724C301-E901-7EC1-7FA2-377368879F2A}"/>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0" y="2540706"/>
              <a:ext cx="1781528" cy="110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723983680553" createdVersion="8" refreshedVersion="8" minRefreshableVersion="3" recordCount="1026" xr:uid="{52CCFB7D-A02F-49A0-B931-E5BA931FA9AA}">
  <cacheSource type="worksheet">
    <worksheetSource ref="A1:N1027" sheet="Work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17492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2"/>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2"/>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2"/>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2"/>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2"/>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2"/>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2"/>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2"/>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2"/>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2"/>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2"/>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2"/>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2"/>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2"/>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2"/>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2"/>
    <x v="1"/>
  </r>
  <r>
    <n v="29106"/>
    <x v="1"/>
    <x v="1"/>
    <n v="40000"/>
    <n v="0"/>
    <s v="High School"/>
    <s v="Skilled Manual"/>
    <s v="No"/>
    <n v="2"/>
    <x v="3"/>
    <x v="2"/>
    <n v="31"/>
    <x v="2"/>
    <x v="1"/>
  </r>
  <r>
    <n v="26236"/>
    <x v="0"/>
    <x v="0"/>
    <n v="40000"/>
    <n v="3"/>
    <s v="Partial College"/>
    <s v="Clerical"/>
    <s v="Yes"/>
    <n v="1"/>
    <x v="0"/>
    <x v="2"/>
    <n v="31"/>
    <x v="2"/>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2"/>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2"/>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2"/>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2"/>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2"/>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2"/>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2"/>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r>
    <m/>
    <x v="2"/>
    <x v="2"/>
    <m/>
    <m/>
    <m/>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C0DF04-39B8-4B36-B025-AC46BDBD077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showAll="0"/>
    <pivotField showAll="0"/>
    <pivotField showAll="0"/>
    <pivotField showAll="0"/>
    <pivotField showAll="0"/>
    <pivotField showAll="0"/>
    <pivotField showAll="0"/>
    <pivotField showAll="0">
      <items count="5">
        <item x="0"/>
        <item x="2"/>
        <item x="1"/>
        <item x="3"/>
        <item t="default"/>
      </items>
    </pivotField>
    <pivotField showAll="0"/>
    <pivotField showAll="0">
      <items count="4">
        <item x="2"/>
        <item x="0"/>
        <item x="1"/>
        <item t="default"/>
      </items>
    </pivotField>
    <pivotField axis="axisCol" showAll="0">
      <items count="4">
        <item x="0"/>
        <item h="1" x="2"/>
        <item x="1"/>
        <item t="default"/>
      </items>
    </pivotField>
  </pivotFields>
  <rowFields count="1">
    <field x="2"/>
  </rowFields>
  <rowItems count="3">
    <i>
      <x/>
    </i>
    <i>
      <x v="1"/>
    </i>
    <i t="grand">
      <x/>
    </i>
  </rowItems>
  <colFields count="1">
    <field x="13"/>
  </colFields>
  <colItems count="3">
    <i>
      <x/>
    </i>
    <i>
      <x v="2"/>
    </i>
    <i t="grand">
      <x/>
    </i>
  </colItems>
  <dataFields count="1">
    <dataField name="Average of Income" fld="3" subtotal="average" baseField="1" baseItem="0" numFmtId="166"/>
  </dataFields>
  <formats count="1">
    <format dxfId="62">
      <pivotArea outline="0" collapsedLevelsAreSubtotals="1"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C3053-D546-483F-B47C-6AA3EE1BAD1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93D0E-F1AF-405F-BCC2-2AF556FD62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1:D28"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8">
        <item x="0"/>
        <item m="1" x="6"/>
        <item x="3"/>
        <item x="1"/>
        <item x="2"/>
        <item h="1" x="5"/>
        <item x="4"/>
        <item t="default"/>
      </items>
    </pivotField>
    <pivotField showAll="0">
      <items count="5">
        <item x="0"/>
        <item x="2"/>
        <item x="1"/>
        <item x="3"/>
        <item t="default"/>
      </items>
    </pivotField>
    <pivotField showAll="0"/>
    <pivotField showAll="0">
      <items count="4">
        <item x="2"/>
        <item x="0"/>
        <item x="1"/>
        <item t="default"/>
      </items>
    </pivotField>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 chart="17"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1BB02AA-5AD7-47B9-A563-72BACF866F2D}" sourceName="Marital Status">
  <pivotTables>
    <pivotTable tabId="4" name="PivotTable1"/>
    <pivotTable tabId="4" name="PivotTable2"/>
    <pivotTable tabId="4" name="PivotTable3"/>
  </pivotTables>
  <data>
    <tabular pivotCacheId="117492638">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4AD951-6E04-47B1-AE7F-D2717C615ABF}" sourceName="Region">
  <pivotTables>
    <pivotTable tabId="4" name="PivotTable1"/>
    <pivotTable tabId="4" name="PivotTable2"/>
    <pivotTable tabId="4" name="PivotTable3"/>
  </pivotTables>
  <data>
    <tabular pivotCacheId="117492638">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CDA21E73-366C-4683-91F2-999D9C74A329}" sourceName="Age Brackets">
  <pivotTables>
    <pivotTable tabId="4" name="PivotTable1"/>
    <pivotTable tabId="4" name="PivotTable2"/>
    <pivotTable tabId="4" name="PivotTable3"/>
  </pivotTables>
  <data>
    <tabular pivotCacheId="1174926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428E922-4891-4634-A0A5-DF2C45E86FEF}" cache="Slicer_Marital_Status" caption="Marital Status" rowHeight="241300"/>
  <slicer name="Region" xr10:uid="{CA9327B8-365F-411A-A9E4-1E5B62185724}" cache="Slicer_Region" caption="Region" rowHeight="241300"/>
  <slicer name="Age Brackets" xr10:uid="{47E2E156-0B50-4A0D-9A22-8BA5FB9A5284}" cache="Slicer_Age_Brackets" caption="Age Bracke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A197-7EBA-40B8-A6D4-12D37E9071ED}">
  <dimension ref="A1:N1027"/>
  <sheetViews>
    <sheetView tabSelected="1" workbookViewId="0">
      <selection activeCell="J13" sqref="J13"/>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IF(L2&gt;54,"Old",IF(L2&gt;31,"Middleage",IF(L2&lt;=31,"Adolescent","Invalid")))</f>
        <v>Middleage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IF(L3&gt;54,"Old",IF(L3&gt;31,"Middleage",IF(L3&lt;=31,"Adolescent","Invalid")))</f>
        <v>Middleage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Middleage</v>
      </c>
      <c r="N5" t="s">
        <v>15</v>
      </c>
    </row>
    <row r="6" spans="1:14" x14ac:dyDescent="0.35">
      <c r="A6">
        <v>25597</v>
      </c>
      <c r="B6" t="s">
        <v>37</v>
      </c>
      <c r="C6" t="s">
        <v>39</v>
      </c>
      <c r="D6" s="3">
        <v>30000</v>
      </c>
      <c r="E6">
        <v>0</v>
      </c>
      <c r="F6" t="s">
        <v>13</v>
      </c>
      <c r="G6" t="s">
        <v>20</v>
      </c>
      <c r="H6" t="s">
        <v>18</v>
      </c>
      <c r="I6">
        <v>0</v>
      </c>
      <c r="J6" t="s">
        <v>16</v>
      </c>
      <c r="K6" t="s">
        <v>17</v>
      </c>
      <c r="L6">
        <v>36</v>
      </c>
      <c r="M6" t="str">
        <f t="shared" si="0"/>
        <v>Middleage</v>
      </c>
      <c r="N6" t="s">
        <v>15</v>
      </c>
    </row>
    <row r="7" spans="1:14" x14ac:dyDescent="0.35">
      <c r="A7">
        <v>13507</v>
      </c>
      <c r="B7" t="s">
        <v>36</v>
      </c>
      <c r="C7" t="s">
        <v>38</v>
      </c>
      <c r="D7" s="3">
        <v>10000</v>
      </c>
      <c r="E7">
        <v>2</v>
      </c>
      <c r="F7" t="s">
        <v>19</v>
      </c>
      <c r="G7" t="s">
        <v>25</v>
      </c>
      <c r="H7" t="s">
        <v>15</v>
      </c>
      <c r="I7">
        <v>0</v>
      </c>
      <c r="J7" t="s">
        <v>26</v>
      </c>
      <c r="K7" t="s">
        <v>17</v>
      </c>
      <c r="L7">
        <v>50</v>
      </c>
      <c r="M7" t="str">
        <f t="shared" si="0"/>
        <v>Middleage</v>
      </c>
      <c r="N7" t="s">
        <v>18</v>
      </c>
    </row>
    <row r="8" spans="1:14" x14ac:dyDescent="0.35">
      <c r="A8">
        <v>27974</v>
      </c>
      <c r="B8" t="s">
        <v>37</v>
      </c>
      <c r="C8" t="s">
        <v>39</v>
      </c>
      <c r="D8" s="3">
        <v>160000</v>
      </c>
      <c r="E8">
        <v>2</v>
      </c>
      <c r="F8" t="s">
        <v>27</v>
      </c>
      <c r="G8" t="s">
        <v>28</v>
      </c>
      <c r="H8" t="s">
        <v>15</v>
      </c>
      <c r="I8">
        <v>4</v>
      </c>
      <c r="J8" t="s">
        <v>16</v>
      </c>
      <c r="K8" t="s">
        <v>24</v>
      </c>
      <c r="L8">
        <v>33</v>
      </c>
      <c r="M8" t="str">
        <f t="shared" si="0"/>
        <v>Middleage</v>
      </c>
      <c r="N8" t="s">
        <v>15</v>
      </c>
    </row>
    <row r="9" spans="1:14" x14ac:dyDescent="0.35">
      <c r="A9">
        <v>19364</v>
      </c>
      <c r="B9" t="s">
        <v>36</v>
      </c>
      <c r="C9" t="s">
        <v>39</v>
      </c>
      <c r="D9" s="3">
        <v>40000</v>
      </c>
      <c r="E9">
        <v>1</v>
      </c>
      <c r="F9" t="s">
        <v>13</v>
      </c>
      <c r="G9" t="s">
        <v>14</v>
      </c>
      <c r="H9" t="s">
        <v>15</v>
      </c>
      <c r="I9">
        <v>0</v>
      </c>
      <c r="J9" t="s">
        <v>16</v>
      </c>
      <c r="K9" t="s">
        <v>17</v>
      </c>
      <c r="L9">
        <v>43</v>
      </c>
      <c r="M9" t="str">
        <f t="shared" si="0"/>
        <v>Middleage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Adolescent</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Adolescent</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Adolescent</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IF(L195&gt;54,"Old",IF(L195&gt;31,"Middleage",IF(L195&lt;=31,"Adolescent","Invalid")))</f>
        <v>Middleage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Adolescent</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Adolescent</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Adolescent</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Adolescent</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Adolescent</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Adolescent</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Adolescent</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Adolescent</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Adolescent</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Adolescent</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Adolescent</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Adolescent</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Adolescent</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Adolescent</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Adolescent</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Adolescent</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Adolescent</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Adolescent</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Adolescent</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Adolescent</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26" si="15">IF(L963&gt;54,"Old",IF(L963&gt;31,"Middleage",IF(L963&lt;=31,"Adolescent","Invalid")))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Adolescent</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Adolescent</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Middleage</v>
      </c>
      <c r="N1001" t="s">
        <v>15</v>
      </c>
    </row>
    <row r="1002" spans="1:14" x14ac:dyDescent="0.35">
      <c r="M1002" t="str">
        <f t="shared" si="15"/>
        <v>Adolescent</v>
      </c>
    </row>
    <row r="1003" spans="1:14" x14ac:dyDescent="0.35">
      <c r="M1003" t="str">
        <f t="shared" si="15"/>
        <v>Adolescent</v>
      </c>
    </row>
    <row r="1004" spans="1:14" x14ac:dyDescent="0.35">
      <c r="M1004" t="str">
        <f t="shared" si="15"/>
        <v>Adolescent</v>
      </c>
    </row>
    <row r="1005" spans="1:14" x14ac:dyDescent="0.35">
      <c r="M1005" t="str">
        <f t="shared" si="15"/>
        <v>Adolescent</v>
      </c>
    </row>
    <row r="1006" spans="1:14" x14ac:dyDescent="0.35">
      <c r="M1006" t="str">
        <f t="shared" si="15"/>
        <v>Adolescent</v>
      </c>
    </row>
    <row r="1007" spans="1:14" x14ac:dyDescent="0.35">
      <c r="M1007" t="str">
        <f t="shared" si="15"/>
        <v>Adolescent</v>
      </c>
    </row>
    <row r="1008" spans="1:14" x14ac:dyDescent="0.35">
      <c r="M1008" t="str">
        <f t="shared" si="15"/>
        <v>Adolescent</v>
      </c>
    </row>
    <row r="1009" spans="13:13" x14ac:dyDescent="0.35">
      <c r="M1009" t="str">
        <f t="shared" si="15"/>
        <v>Adolescent</v>
      </c>
    </row>
    <row r="1010" spans="13:13" x14ac:dyDescent="0.35">
      <c r="M1010" t="str">
        <f t="shared" si="15"/>
        <v>Adolescent</v>
      </c>
    </row>
    <row r="1011" spans="13:13" x14ac:dyDescent="0.35">
      <c r="M1011" t="str">
        <f t="shared" si="15"/>
        <v>Adolescent</v>
      </c>
    </row>
    <row r="1012" spans="13:13" x14ac:dyDescent="0.35">
      <c r="M1012" t="str">
        <f t="shared" si="15"/>
        <v>Adolescent</v>
      </c>
    </row>
    <row r="1013" spans="13:13" x14ac:dyDescent="0.35">
      <c r="M1013" t="str">
        <f t="shared" si="15"/>
        <v>Adolescent</v>
      </c>
    </row>
    <row r="1014" spans="13:13" x14ac:dyDescent="0.35">
      <c r="M1014" t="str">
        <f t="shared" si="15"/>
        <v>Adolescent</v>
      </c>
    </row>
    <row r="1015" spans="13:13" x14ac:dyDescent="0.35">
      <c r="M1015" t="str">
        <f t="shared" si="15"/>
        <v>Adolescent</v>
      </c>
    </row>
    <row r="1016" spans="13:13" x14ac:dyDescent="0.35">
      <c r="M1016" t="str">
        <f t="shared" si="15"/>
        <v>Adolescent</v>
      </c>
    </row>
    <row r="1017" spans="13:13" x14ac:dyDescent="0.35">
      <c r="M1017" t="str">
        <f t="shared" si="15"/>
        <v>Adolescent</v>
      </c>
    </row>
    <row r="1018" spans="13:13" x14ac:dyDescent="0.35">
      <c r="M1018" t="str">
        <f t="shared" si="15"/>
        <v>Adolescent</v>
      </c>
    </row>
    <row r="1019" spans="13:13" x14ac:dyDescent="0.35">
      <c r="M1019" t="str">
        <f t="shared" si="15"/>
        <v>Adolescent</v>
      </c>
    </row>
    <row r="1020" spans="13:13" x14ac:dyDescent="0.35">
      <c r="M1020" t="str">
        <f t="shared" si="15"/>
        <v>Adolescent</v>
      </c>
    </row>
    <row r="1021" spans="13:13" x14ac:dyDescent="0.35">
      <c r="M1021" t="str">
        <f t="shared" si="15"/>
        <v>Adolescent</v>
      </c>
    </row>
    <row r="1022" spans="13:13" x14ac:dyDescent="0.35">
      <c r="M1022" t="str">
        <f t="shared" si="15"/>
        <v>Adolescent</v>
      </c>
    </row>
    <row r="1023" spans="13:13" x14ac:dyDescent="0.35">
      <c r="M1023" t="str">
        <f t="shared" si="15"/>
        <v>Adolescent</v>
      </c>
    </row>
    <row r="1024" spans="13:13" x14ac:dyDescent="0.35">
      <c r="M1024" t="str">
        <f t="shared" si="15"/>
        <v>Adolescent</v>
      </c>
    </row>
    <row r="1025" spans="13:13" x14ac:dyDescent="0.35">
      <c r="M1025" t="str">
        <f t="shared" si="15"/>
        <v>Adolescent</v>
      </c>
    </row>
    <row r="1026" spans="13:13" x14ac:dyDescent="0.35">
      <c r="M1026" t="str">
        <f t="shared" si="15"/>
        <v>Adolescent</v>
      </c>
    </row>
    <row r="1027" spans="13:13" x14ac:dyDescent="0.35">
      <c r="M1027" t="str">
        <f t="shared" ref="M1027" si="16">IF(L1027&gt;54,"Old",IF(L1027&gt;31,"Middleage",IF(L1027&lt;=31,"Adolescent","Invalid")))</f>
        <v>Adolescent</v>
      </c>
    </row>
  </sheetData>
  <autoFilter ref="A1:N1027" xr:uid="{691AA197-7EBA-40B8-A6D4-12D37E9071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85CE-AA87-4254-AFBE-2B25C7A77A05}">
  <dimension ref="A1:D44"/>
  <sheetViews>
    <sheetView zoomScale="58" workbookViewId="0">
      <selection activeCell="A2" sqref="A2"/>
    </sheetView>
  </sheetViews>
  <sheetFormatPr defaultRowHeight="14.5" x14ac:dyDescent="0.35"/>
  <cols>
    <col min="1" max="1" width="22" bestFit="1" customWidth="1"/>
    <col min="2" max="2" width="17.36328125" bestFit="1" customWidth="1"/>
    <col min="3" max="3" width="4.36328125" bestFit="1" customWidth="1"/>
    <col min="4" max="4" width="10.90625" bestFit="1" customWidth="1"/>
    <col min="5" max="5" width="10.7265625" bestFit="1" customWidth="1"/>
  </cols>
  <sheetData>
    <row r="1" spans="1:4" x14ac:dyDescent="0.35">
      <c r="A1" s="4" t="s">
        <v>43</v>
      </c>
      <c r="B1" s="4" t="s">
        <v>44</v>
      </c>
    </row>
    <row r="2" spans="1:4" x14ac:dyDescent="0.35">
      <c r="A2" s="4" t="s">
        <v>41</v>
      </c>
      <c r="B2" t="s">
        <v>18</v>
      </c>
      <c r="C2" t="s">
        <v>15</v>
      </c>
      <c r="D2" t="s">
        <v>42</v>
      </c>
    </row>
    <row r="3" spans="1:4" x14ac:dyDescent="0.35">
      <c r="A3" s="5" t="s">
        <v>38</v>
      </c>
      <c r="B3" s="6">
        <v>53440</v>
      </c>
      <c r="C3" s="6">
        <v>55774.058577405856</v>
      </c>
      <c r="D3" s="6">
        <v>54580.777096114522</v>
      </c>
    </row>
    <row r="4" spans="1:4" x14ac:dyDescent="0.35">
      <c r="A4" s="5" t="s">
        <v>39</v>
      </c>
      <c r="B4" s="6">
        <v>56208.178438661707</v>
      </c>
      <c r="C4" s="6">
        <v>60123.966942148763</v>
      </c>
      <c r="D4" s="6">
        <v>58062.62230919765</v>
      </c>
    </row>
    <row r="5" spans="1:4" x14ac:dyDescent="0.35">
      <c r="A5" s="5" t="s">
        <v>42</v>
      </c>
      <c r="B5" s="6">
        <v>54874.759152215796</v>
      </c>
      <c r="C5" s="6">
        <v>57962.577962577961</v>
      </c>
      <c r="D5" s="6">
        <v>56360</v>
      </c>
    </row>
    <row r="21" spans="1:4" x14ac:dyDescent="0.35">
      <c r="A21" s="4" t="s">
        <v>45</v>
      </c>
      <c r="B21" s="4" t="s">
        <v>44</v>
      </c>
    </row>
    <row r="22" spans="1:4" x14ac:dyDescent="0.35">
      <c r="A22" s="4" t="s">
        <v>41</v>
      </c>
      <c r="B22" t="s">
        <v>18</v>
      </c>
      <c r="C22" t="s">
        <v>15</v>
      </c>
      <c r="D22" t="s">
        <v>42</v>
      </c>
    </row>
    <row r="23" spans="1:4" x14ac:dyDescent="0.35">
      <c r="A23" s="5" t="s">
        <v>16</v>
      </c>
      <c r="B23" s="9">
        <v>166</v>
      </c>
      <c r="C23" s="9">
        <v>200</v>
      </c>
      <c r="D23" s="9">
        <v>366</v>
      </c>
    </row>
    <row r="24" spans="1:4" x14ac:dyDescent="0.35">
      <c r="A24" s="5" t="s">
        <v>26</v>
      </c>
      <c r="B24" s="9">
        <v>92</v>
      </c>
      <c r="C24" s="9">
        <v>77</v>
      </c>
      <c r="D24" s="9">
        <v>169</v>
      </c>
    </row>
    <row r="25" spans="1:4" x14ac:dyDescent="0.35">
      <c r="A25" s="5" t="s">
        <v>22</v>
      </c>
      <c r="B25" s="9">
        <v>67</v>
      </c>
      <c r="C25" s="9">
        <v>95</v>
      </c>
      <c r="D25" s="9">
        <v>162</v>
      </c>
    </row>
    <row r="26" spans="1:4" x14ac:dyDescent="0.35">
      <c r="A26" s="5" t="s">
        <v>23</v>
      </c>
      <c r="B26" s="9">
        <v>116</v>
      </c>
      <c r="C26" s="9">
        <v>76</v>
      </c>
      <c r="D26" s="9">
        <v>192</v>
      </c>
    </row>
    <row r="27" spans="1:4" x14ac:dyDescent="0.35">
      <c r="A27" s="5" t="s">
        <v>46</v>
      </c>
      <c r="B27" s="9">
        <v>78</v>
      </c>
      <c r="C27" s="9">
        <v>33</v>
      </c>
      <c r="D27" s="9">
        <v>111</v>
      </c>
    </row>
    <row r="28" spans="1:4" x14ac:dyDescent="0.35">
      <c r="A28" s="5" t="s">
        <v>42</v>
      </c>
      <c r="B28" s="9">
        <v>519</v>
      </c>
      <c r="C28" s="9">
        <v>481</v>
      </c>
      <c r="D28" s="9">
        <v>1000</v>
      </c>
    </row>
    <row r="39" spans="1:4" x14ac:dyDescent="0.35">
      <c r="A39" s="4" t="s">
        <v>45</v>
      </c>
      <c r="B39" s="4" t="s">
        <v>44</v>
      </c>
    </row>
    <row r="40" spans="1:4" x14ac:dyDescent="0.35">
      <c r="A40" s="4" t="s">
        <v>41</v>
      </c>
      <c r="B40" t="s">
        <v>18</v>
      </c>
      <c r="C40" t="s">
        <v>15</v>
      </c>
      <c r="D40" t="s">
        <v>42</v>
      </c>
    </row>
    <row r="41" spans="1:4" x14ac:dyDescent="0.35">
      <c r="A41" s="5" t="s">
        <v>49</v>
      </c>
      <c r="B41" s="9">
        <v>88</v>
      </c>
      <c r="C41" s="9">
        <v>47</v>
      </c>
      <c r="D41" s="9">
        <v>135</v>
      </c>
    </row>
    <row r="42" spans="1:4" x14ac:dyDescent="0.35">
      <c r="A42" s="5" t="s">
        <v>47</v>
      </c>
      <c r="B42" s="9">
        <v>301</v>
      </c>
      <c r="C42" s="9">
        <v>375</v>
      </c>
      <c r="D42" s="9">
        <v>676</v>
      </c>
    </row>
    <row r="43" spans="1:4" x14ac:dyDescent="0.35">
      <c r="A43" s="5" t="s">
        <v>48</v>
      </c>
      <c r="B43" s="9">
        <v>130</v>
      </c>
      <c r="C43" s="9">
        <v>59</v>
      </c>
      <c r="D43" s="9">
        <v>189</v>
      </c>
    </row>
    <row r="44" spans="1:4" x14ac:dyDescent="0.35">
      <c r="A44" s="5" t="s">
        <v>42</v>
      </c>
      <c r="B44" s="9">
        <v>519</v>
      </c>
      <c r="C44" s="9">
        <v>481</v>
      </c>
      <c r="D44"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41B4-8E30-4874-8609-BEA19039840E}">
  <dimension ref="A1:L8"/>
  <sheetViews>
    <sheetView showGridLines="0" topLeftCell="A6" zoomScale="72" workbookViewId="0">
      <selection activeCell="A31" sqref="A31"/>
    </sheetView>
  </sheetViews>
  <sheetFormatPr defaultRowHeight="14.5" x14ac:dyDescent="0.35"/>
  <cols>
    <col min="1" max="1" width="26.54296875" customWidth="1"/>
    <col min="2" max="11" width="8.7265625" customWidth="1"/>
    <col min="12" max="12" width="43.08984375" customWidth="1"/>
  </cols>
  <sheetData>
    <row r="1" spans="1:12" ht="14.5" customHeight="1" x14ac:dyDescent="0.35">
      <c r="A1" s="7" t="s">
        <v>50</v>
      </c>
      <c r="B1" s="8"/>
      <c r="C1" s="8"/>
      <c r="D1" s="8"/>
      <c r="E1" s="8"/>
      <c r="F1" s="8"/>
      <c r="G1" s="8"/>
      <c r="H1" s="8"/>
      <c r="I1" s="8"/>
      <c r="J1" s="8"/>
      <c r="K1" s="8"/>
      <c r="L1" s="8"/>
    </row>
    <row r="2" spans="1:12" x14ac:dyDescent="0.35">
      <c r="A2" s="8"/>
      <c r="B2" s="8"/>
      <c r="C2" s="8"/>
      <c r="D2" s="8"/>
      <c r="E2" s="8"/>
      <c r="F2" s="8"/>
      <c r="G2" s="8"/>
      <c r="H2" s="8"/>
      <c r="I2" s="8"/>
      <c r="J2" s="8"/>
      <c r="K2" s="8"/>
      <c r="L2" s="8"/>
    </row>
    <row r="3" spans="1:12" x14ac:dyDescent="0.35">
      <c r="A3" s="8"/>
      <c r="B3" s="8"/>
      <c r="C3" s="8"/>
      <c r="D3" s="8"/>
      <c r="E3" s="8"/>
      <c r="F3" s="8"/>
      <c r="G3" s="8"/>
      <c r="H3" s="8"/>
      <c r="I3" s="8"/>
      <c r="J3" s="8"/>
      <c r="K3" s="8"/>
      <c r="L3" s="8"/>
    </row>
    <row r="4" spans="1:12" x14ac:dyDescent="0.35">
      <c r="A4" s="8"/>
      <c r="B4" s="8"/>
      <c r="C4" s="8"/>
      <c r="D4" s="8"/>
      <c r="E4" s="8"/>
      <c r="F4" s="8"/>
      <c r="G4" s="8"/>
      <c r="H4" s="8"/>
      <c r="I4" s="8"/>
      <c r="J4" s="8"/>
      <c r="K4" s="8"/>
      <c r="L4" s="8"/>
    </row>
    <row r="5" spans="1:12" x14ac:dyDescent="0.35">
      <c r="A5" s="8"/>
      <c r="B5" s="8"/>
      <c r="C5" s="8"/>
      <c r="D5" s="8"/>
      <c r="E5" s="8"/>
      <c r="F5" s="8"/>
      <c r="G5" s="8"/>
      <c r="H5" s="8"/>
      <c r="I5" s="8"/>
      <c r="J5" s="8"/>
      <c r="K5" s="8"/>
      <c r="L5" s="8"/>
    </row>
    <row r="6" spans="1:12" x14ac:dyDescent="0.35">
      <c r="A6" s="8"/>
      <c r="B6" s="8"/>
      <c r="C6" s="8"/>
      <c r="D6" s="8"/>
      <c r="E6" s="8"/>
      <c r="F6" s="8"/>
      <c r="G6" s="8"/>
      <c r="H6" s="8"/>
      <c r="I6" s="8"/>
      <c r="J6" s="8"/>
      <c r="K6" s="8"/>
      <c r="L6" s="8"/>
    </row>
    <row r="7" spans="1:12" x14ac:dyDescent="0.35">
      <c r="A7" s="8"/>
      <c r="B7" s="8"/>
      <c r="C7" s="8"/>
      <c r="D7" s="8"/>
      <c r="E7" s="8"/>
      <c r="F7" s="8"/>
      <c r="G7" s="8"/>
      <c r="H7" s="8"/>
      <c r="I7" s="8"/>
      <c r="J7" s="8"/>
      <c r="K7" s="8"/>
      <c r="L7" s="8"/>
    </row>
    <row r="8" spans="1:12" x14ac:dyDescent="0.35">
      <c r="A8" s="8"/>
      <c r="B8" s="8"/>
      <c r="C8" s="8"/>
      <c r="D8" s="8"/>
      <c r="E8" s="8"/>
      <c r="F8" s="8"/>
      <c r="G8" s="8"/>
      <c r="H8" s="8"/>
      <c r="I8" s="8"/>
      <c r="J8" s="8"/>
      <c r="K8" s="8"/>
      <c r="L8" s="8"/>
    </row>
  </sheetData>
  <mergeCells count="1">
    <mergeCell ref="A1: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Shaban</cp:lastModifiedBy>
  <dcterms:created xsi:type="dcterms:W3CDTF">2022-03-18T02:50:57Z</dcterms:created>
  <dcterms:modified xsi:type="dcterms:W3CDTF">2026-07-28T10:39:11Z</dcterms:modified>
</cp:coreProperties>
</file>